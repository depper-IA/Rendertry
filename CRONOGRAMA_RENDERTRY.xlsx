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7A45FA320E8A945/Documents/"/>
    </mc:Choice>
  </mc:AlternateContent>
  <xr:revisionPtr revIDLastSave="0" documentId="8_{0D5282FF-1D93-409E-AD41-AC8ED48CB43B}" xr6:coauthVersionLast="47" xr6:coauthVersionMax="47" xr10:uidLastSave="{00000000-0000-0000-0000-000000000000}"/>
  <bookViews>
    <workbookView xWindow="5460" yWindow="3645" windowWidth="21600" windowHeight="11295" xr2:uid="{00000000-000D-0000-FFFF-FFFF00000000}"/>
  </bookViews>
  <sheets>
    <sheet name="CRONOGRAMA DEL PROYEC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Na2FI+YBDZ5T60hCKJw/Oyea1cqNZvU16hI68YjiZA="/>
    </ext>
  </extLst>
</workbook>
</file>

<file path=xl/calcChain.xml><?xml version="1.0" encoding="utf-8"?>
<calcChain xmlns="http://schemas.openxmlformats.org/spreadsheetml/2006/main">
  <c r="E9" i="1" l="1"/>
  <c r="G14" i="1" l="1"/>
  <c r="E12" i="1"/>
  <c r="E11" i="1"/>
  <c r="E10" i="1"/>
</calcChain>
</file>

<file path=xl/sharedStrings.xml><?xml version="1.0" encoding="utf-8"?>
<sst xmlns="http://schemas.openxmlformats.org/spreadsheetml/2006/main" count="51" uniqueCount="48">
  <si>
    <t>CRONOGRAMA DEL PROYECTO</t>
  </si>
  <si>
    <t>NOMBRE DEL PROYECTO</t>
  </si>
  <si>
    <t>FECHA DE INICIO</t>
  </si>
  <si>
    <t>GERENTE DE PROYECTO</t>
  </si>
  <si>
    <t xml:space="preserve">FECHA DE FINALIZACIÓN </t>
  </si>
  <si>
    <t xml:space="preserve">Stevens Moreno </t>
  </si>
  <si>
    <t>LINEA DE TIEMPO</t>
  </si>
  <si>
    <t>NOTAS DEL PROYECTO</t>
  </si>
  <si>
    <t>TITULO FASE</t>
  </si>
  <si>
    <t>DURACIÓN EN DIAS</t>
  </si>
  <si>
    <t>ACTIVIDAD</t>
  </si>
  <si>
    <t>PRESUPUESTO</t>
  </si>
  <si>
    <t>RECURSOS</t>
  </si>
  <si>
    <t>RIESGOS</t>
  </si>
  <si>
    <t>PROBLEMAS</t>
  </si>
  <si>
    <t>COMENTARIOS</t>
  </si>
  <si>
    <t>INICIACIÓN</t>
  </si>
  <si>
    <t>Realizar acta de constitución del proyecto. Definir objetivos generales y específicos e identificar actores clave (emprendedora, desarrollador, público objetivo).</t>
  </si>
  <si>
    <t>Reuniones - documentacion</t>
  </si>
  <si>
    <t>Falta de claridad en los requerimientos.</t>
  </si>
  <si>
    <t>Cambios en los requerimientos.</t>
  </si>
  <si>
    <t>Se recomienda incluir todas las partes interesadas.</t>
  </si>
  <si>
    <t>PLANEACIÓN</t>
  </si>
  <si>
    <t>Establecer plan de trabajo y cronograma. Definir requerimientos funcionales y no funcionales del sitio. Estructura del sitio web (mapa de navegación). Diseño visual preliminar (paleta de colores, tipografía y estilo.)</t>
  </si>
  <si>
    <t>Deseñadores - Herramientas de diseño.</t>
  </si>
  <si>
    <t>Falta de alineación de la identidad de marca.</t>
  </si>
  <si>
    <t>Requerimientos adicionales que puedan retrasar la entrega.</t>
  </si>
  <si>
    <t>Validar con el cliente antes de avanzar con todos los dieños.</t>
  </si>
  <si>
    <t>EJECUCIÓN</t>
  </si>
  <si>
    <t>Desarrollar el sitio web institucional en HTML, CSS, JAVASCRIPT, BOOTSTRAP. Implementación de las secciones: menú, carrusel, catálogo, formulario de contacto, footer. Pruebas de funcionalidad y correcciones de errores.</t>
  </si>
  <si>
    <t>Desarrolladores. Framework</t>
  </si>
  <si>
    <t>Problemas de compatibilidad entre navegadores.</t>
  </si>
  <si>
    <t>Requerimientos adicionales a última hora.</t>
  </si>
  <si>
    <t>Utilizar metodologías ágiles para tener adaptabilidad.</t>
  </si>
  <si>
    <t>MONITOREO Y CONTROL</t>
  </si>
  <si>
    <t>Realizar seguimiento del avance frente al cronograma. Validación  de la funcionalidad de los componentes. Revisión de cumplimiento de objetivos y requerimientos. Registro de ajustes y mejoras realizadas. Revisar y optimizar los últimos ajustes antes del lanzamiento oficial.</t>
  </si>
  <si>
    <t>Tester y pruebas manueles</t>
  </si>
  <si>
    <t xml:space="preserve">Identificación de errores críticos. </t>
  </si>
  <si>
    <t>Demasiados errores.</t>
  </si>
  <si>
    <t>Priorizar pruebas de front.</t>
  </si>
  <si>
    <t>CIERRE DEL PROYECTO</t>
  </si>
  <si>
    <t>Entregar sitio web publicado. Acta de finalización y aceptación del proyecto. Evaluación final y recomendaciones de mejora.</t>
  </si>
  <si>
    <t>Servidores hosting, y dominio.</t>
  </si>
  <si>
    <t>Problemas de migración y despliegues.</t>
  </si>
  <si>
    <t>Fallos en la configuración del servidor.</t>
  </si>
  <si>
    <t>Plan de contingencia con otro hosting.</t>
  </si>
  <si>
    <t>CRONOGRAMA DE ENTREGA</t>
  </si>
  <si>
    <t>RENDERTRY — Visualizador Interactivo de Personalización Automotriz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</si>
</sst>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F800]dddd\,\ mmmm\ dd\,\ yyyy"/>
    <numFmt numFmtId="165" formatCode="mm/dd/yy"/>
    <numFmt numFmtId="166" formatCode="[$ $]#,##0"/>
    <numFmt numFmtId="167" formatCode="d/m/yyyy"/>
  </numFmts>
  <fonts count="9" x14ac:knownFonts="1">
    <font>
      <sz val="12"/>
      <color theme="1"/>
      <name val="Calibri"/>
      <scheme val="minor"/>
    </font>
    <font>
      <sz val="10"/>
      <color theme="1"/>
      <name val="Century Gothic"/>
    </font>
    <font>
      <b/>
      <sz val="17"/>
      <color rgb="FF7F7F7F"/>
      <name val="Century Gothic"/>
    </font>
    <font>
      <sz val="9"/>
      <color theme="1"/>
      <name val="Century Gothic"/>
    </font>
    <font>
      <sz val="12"/>
      <name val="Calibri"/>
    </font>
    <font>
      <sz val="12"/>
      <color theme="1"/>
      <name val="Arial"/>
    </font>
    <font>
      <b/>
      <sz val="10"/>
      <color theme="1"/>
      <name val="Century Gothic"/>
    </font>
    <font>
      <sz val="16"/>
      <color rgb="FF7F7F7F"/>
      <name val="Century Gothic"/>
    </font>
    <font>
      <sz val="12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EAEEF3"/>
        <bgColor rgb="FFEAEEF3"/>
      </patternFill>
    </fill>
    <fill>
      <patternFill patternType="solid">
        <fgColor rgb="FFD6DCE4"/>
        <bgColor rgb="FFD6DCE4"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medium">
        <color rgb="FFBFBFBF"/>
      </bottom>
      <diagonal/>
    </border>
    <border>
      <left/>
      <right/>
      <top style="thin">
        <color rgb="FFBFBFBF"/>
      </top>
      <bottom style="medium">
        <color rgb="FFBFBFBF"/>
      </bottom>
      <diagonal/>
    </border>
    <border>
      <left/>
      <right style="thin">
        <color rgb="FFBFBFBF"/>
      </right>
      <top style="thin">
        <color rgb="FFBFBFBF"/>
      </top>
      <bottom style="medium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vertical="center"/>
    </xf>
    <xf numFmtId="0" fontId="1" fillId="0" borderId="0" xfId="0" applyFont="1" applyAlignment="1">
      <alignment wrapText="1"/>
    </xf>
    <xf numFmtId="0" fontId="3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164" fontId="1" fillId="4" borderId="5" xfId="0" applyNumberFormat="1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5" fillId="0" borderId="0" xfId="0" applyFont="1"/>
    <xf numFmtId="0" fontId="1" fillId="0" borderId="0" xfId="0" applyFont="1"/>
    <xf numFmtId="0" fontId="6" fillId="5" borderId="9" xfId="0" applyFont="1" applyFill="1" applyBorder="1" applyAlignment="1">
      <alignment horizontal="left" vertical="center" wrapText="1"/>
    </xf>
    <xf numFmtId="0" fontId="6" fillId="5" borderId="10" xfId="0" applyFont="1" applyFill="1" applyBorder="1" applyAlignment="1">
      <alignment horizontal="left" vertical="center" wrapText="1"/>
    </xf>
    <xf numFmtId="0" fontId="1" fillId="5" borderId="10" xfId="0" applyFont="1" applyFill="1" applyBorder="1"/>
    <xf numFmtId="0" fontId="1" fillId="5" borderId="11" xfId="0" applyFont="1" applyFill="1" applyBorder="1"/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 wrapText="1"/>
    </xf>
    <xf numFmtId="165" fontId="1" fillId="3" borderId="15" xfId="0" applyNumberFormat="1" applyFont="1" applyFill="1" applyBorder="1" applyAlignment="1">
      <alignment horizontal="center" vertical="center"/>
    </xf>
    <xf numFmtId="165" fontId="1" fillId="0" borderId="15" xfId="0" applyNumberFormat="1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166" fontId="1" fillId="0" borderId="15" xfId="0" applyNumberFormat="1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167" fontId="8" fillId="0" borderId="0" xfId="0" applyNumberFormat="1" applyFont="1"/>
    <xf numFmtId="3" fontId="8" fillId="0" borderId="0" xfId="0" applyNumberFormat="1" applyFont="1"/>
    <xf numFmtId="0" fontId="8" fillId="0" borderId="0" xfId="0" applyFont="1" applyAlignment="1">
      <alignment wrapText="1"/>
    </xf>
    <xf numFmtId="0" fontId="1" fillId="3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CRONOGRAMA DEL PROYECTO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v>FECHA DE INICIO</c:v>
          </c:tx>
          <c:spPr>
            <a:solidFill>
              <a:srgbClr val="5B9BD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'CRONOGRAMA DEL PROYECTO'!$B$9:$B$20</c:f>
              <c:strCache>
                <c:ptCount val="5"/>
                <c:pt idx="0">
                  <c:v>INICIACIÓN</c:v>
                </c:pt>
                <c:pt idx="1">
                  <c:v>PLANEACIÓN</c:v>
                </c:pt>
                <c:pt idx="2">
                  <c:v>EJECUCIÓN</c:v>
                </c:pt>
                <c:pt idx="3">
                  <c:v>MONITOREO Y CONTROL</c:v>
                </c:pt>
                <c:pt idx="4">
                  <c:v>CIERRE DEL PROYECTO</c:v>
                </c:pt>
              </c:strCache>
            </c:strRef>
          </c:cat>
          <c:val>
            <c:numRef>
              <c:f>'CRONOGRAMA DEL PROYECTO'!$C$9:$C$20</c:f>
              <c:numCache>
                <c:formatCode>mm/dd/yy</c:formatCode>
                <c:ptCount val="12"/>
                <c:pt idx="0">
                  <c:v>46140</c:v>
                </c:pt>
                <c:pt idx="1">
                  <c:v>46147</c:v>
                </c:pt>
                <c:pt idx="2">
                  <c:v>46155</c:v>
                </c:pt>
                <c:pt idx="3">
                  <c:v>46166</c:v>
                </c:pt>
                <c:pt idx="4">
                  <c:v>46172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C83-4660-9FE8-40FAAF933FF4}"/>
            </c:ext>
          </c:extLst>
        </c:ser>
        <c:ser>
          <c:idx val="1"/>
          <c:order val="1"/>
          <c:tx>
            <c:v>Duration</c:v>
          </c:tx>
          <c:spPr>
            <a:solidFill>
              <a:srgbClr val="4472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6A3A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2-AC83-4660-9FE8-40FAAF933FF4}"/>
              </c:ext>
            </c:extLst>
          </c:dPt>
          <c:dPt>
            <c:idx val="2"/>
            <c:invertIfNegative val="1"/>
            <c:bubble3D val="0"/>
            <c:spPr>
              <a:solidFill>
                <a:srgbClr val="00B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4-AC83-4660-9FE8-40FAAF933FF4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AC83-4660-9FE8-40FAAF933FF4}"/>
              </c:ext>
            </c:extLst>
          </c:dPt>
          <c:dPt>
            <c:idx val="4"/>
            <c:invertIfNegative val="1"/>
            <c:bubble3D val="0"/>
            <c:spPr>
              <a:solidFill>
                <a:srgbClr val="FF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8-AC83-4660-9FE8-40FAAF933FF4}"/>
              </c:ext>
            </c:extLst>
          </c:dPt>
          <c:dPt>
            <c:idx val="5"/>
            <c:invertIfNegative val="1"/>
            <c:bubble3D val="0"/>
            <c:spPr>
              <a:solidFill>
                <a:srgbClr val="92D05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AC83-4660-9FE8-40FAAF933FF4}"/>
              </c:ext>
            </c:extLst>
          </c:dPt>
          <c:dPt>
            <c:idx val="6"/>
            <c:invertIfNegative val="1"/>
            <c:bubble3D val="0"/>
            <c:spPr>
              <a:solidFill>
                <a:srgbClr val="EE57A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AC83-4660-9FE8-40FAAF933FF4}"/>
              </c:ext>
            </c:extLst>
          </c:dPt>
          <c:dPt>
            <c:idx val="7"/>
            <c:invertIfNegative val="1"/>
            <c:bubble3D val="0"/>
            <c:spPr>
              <a:solidFill>
                <a:schemeClr val="accent4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E-AC83-4660-9FE8-40FAAF933FF4}"/>
              </c:ext>
            </c:extLst>
          </c:dPt>
          <c:dPt>
            <c:idx val="8"/>
            <c:invertIfNegative val="1"/>
            <c:bubble3D val="0"/>
            <c:spPr>
              <a:solidFill>
                <a:schemeClr val="accent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0-AC83-4660-9FE8-40FAAF933FF4}"/>
              </c:ext>
            </c:extLst>
          </c:dPt>
          <c:dPt>
            <c:idx val="9"/>
            <c:invertIfNegative val="1"/>
            <c:bubble3D val="0"/>
            <c:spPr>
              <a:solidFill>
                <a:srgbClr val="00B0F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AC83-4660-9FE8-40FAAF933FF4}"/>
              </c:ext>
            </c:extLst>
          </c:dPt>
          <c:dPt>
            <c:idx val="10"/>
            <c:invertIfNegative val="1"/>
            <c:bubble3D val="0"/>
            <c:spPr>
              <a:solidFill>
                <a:srgbClr val="C0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AC83-4660-9FE8-40FAAF933FF4}"/>
              </c:ext>
            </c:extLst>
          </c:dPt>
          <c:dPt>
            <c:idx val="11"/>
            <c:invertIfNegative val="1"/>
            <c:bubble3D val="0"/>
            <c:spPr>
              <a:solidFill>
                <a:schemeClr val="accent2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AC83-4660-9FE8-40FAAF933FF4}"/>
              </c:ext>
            </c:extLst>
          </c:dPt>
          <c:dPt>
            <c:idx val="12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AC83-4660-9FE8-40FAAF933FF4}"/>
              </c:ext>
            </c:extLst>
          </c:dPt>
          <c:dPt>
            <c:idx val="13"/>
            <c:invertIfNegative val="1"/>
            <c:bubble3D val="0"/>
            <c:spPr>
              <a:solidFill>
                <a:srgbClr val="FFC11D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AC83-4660-9FE8-40FAAF933FF4}"/>
              </c:ext>
            </c:extLst>
          </c:dPt>
          <c:cat>
            <c:strRef>
              <c:f>'CRONOGRAMA DEL PROYECTO'!$B$9:$B$20</c:f>
              <c:strCache>
                <c:ptCount val="5"/>
                <c:pt idx="0">
                  <c:v>INICIACIÓN</c:v>
                </c:pt>
                <c:pt idx="1">
                  <c:v>PLANEACIÓN</c:v>
                </c:pt>
                <c:pt idx="2">
                  <c:v>EJECUCIÓN</c:v>
                </c:pt>
                <c:pt idx="3">
                  <c:v>MONITOREO Y CONTROL</c:v>
                </c:pt>
                <c:pt idx="4">
                  <c:v>CIERRE DEL PROYECTO</c:v>
                </c:pt>
              </c:strCache>
            </c:strRef>
          </c:cat>
          <c:val>
            <c:numRef>
              <c:f>'CRONOGRAMA DEL PROYECTO'!$E$10:$E$20</c:f>
              <c:numCache>
                <c:formatCode>General</c:formatCode>
                <c:ptCount val="11"/>
                <c:pt idx="0">
                  <c:v>9</c:v>
                </c:pt>
                <c:pt idx="1">
                  <c:v>12</c:v>
                </c:pt>
                <c:pt idx="2">
                  <c:v>7</c:v>
                </c:pt>
                <c:pt idx="3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B-AC83-4660-9FE8-40FAAF933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80443942"/>
        <c:axId val="3289603"/>
      </c:barChart>
      <c:catAx>
        <c:axId val="68044394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0"/>
          <a:lstStyle/>
          <a:p>
            <a:pPr lvl="0">
              <a:defRPr sz="1100" b="0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3289603"/>
        <c:crosses val="autoZero"/>
        <c:auto val="1"/>
        <c:lblAlgn val="ctr"/>
        <c:lblOffset val="100"/>
        <c:noMultiLvlLbl val="1"/>
      </c:catAx>
      <c:valAx>
        <c:axId val="3289603"/>
        <c:scaling>
          <c:orientation val="minMax"/>
          <c:min val="4578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mm/dd/yy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100" b="0" i="0">
                <a:solidFill>
                  <a:srgbClr val="000000"/>
                </a:solidFill>
                <a:latin typeface="Century Gothic"/>
              </a:defRPr>
            </a:pPr>
            <a:endParaRPr lang="en-US"/>
          </a:p>
        </c:txPr>
        <c:crossAx val="680443942"/>
        <c:crosses val="max"/>
        <c:crossBetween val="between"/>
        <c:majorUnit val="30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</xdr:row>
      <xdr:rowOff>171450</xdr:rowOff>
    </xdr:from>
    <xdr:ext cx="20364450" cy="4724400"/>
    <xdr:graphicFrame macro="">
      <xdr:nvGraphicFramePr>
        <xdr:cNvPr id="563732936" name="Chart 1">
          <a:extLst>
            <a:ext uri="{FF2B5EF4-FFF2-40B4-BE49-F238E27FC236}">
              <a16:creationId xmlns:a16="http://schemas.microsoft.com/office/drawing/2014/main" id="{00000000-0008-0000-0000-0000C8E199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1" displayName="Tabla_1" ref="B8:K20">
  <tableColumns count="10">
    <tableColumn id="1" xr3:uid="{00000000-0010-0000-0000-000001000000}" name="TITULO FASE"/>
    <tableColumn id="2" xr3:uid="{00000000-0010-0000-0000-000002000000}" name="FECHA DE INICIO"/>
    <tableColumn id="3" xr3:uid="{00000000-0010-0000-0000-000003000000}" name="FECHA DE FINALIZACIÓN "/>
    <tableColumn id="4" xr3:uid="{00000000-0010-0000-0000-000004000000}" name="DURACIÓN EN DIAS"/>
    <tableColumn id="5" xr3:uid="{00000000-0010-0000-0000-000005000000}" name="ACTIVIDAD"/>
    <tableColumn id="6" xr3:uid="{00000000-0010-0000-0000-000006000000}" name="PRESUPUESTO"/>
    <tableColumn id="7" xr3:uid="{00000000-0010-0000-0000-000007000000}" name="RECURSOS"/>
    <tableColumn id="8" xr3:uid="{00000000-0010-0000-0000-000008000000}" name="RIESGOS"/>
    <tableColumn id="9" xr3:uid="{00000000-0010-0000-0000-000009000000}" name="PROBLEMAS"/>
    <tableColumn id="10" xr3:uid="{00000000-0010-0000-0000-00000A000000}" name="COMENTARIOS"/>
  </tableColumns>
  <tableStyleInfo name="CRONOGRAMA DEL PROYECT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AE1000"/>
  <sheetViews>
    <sheetView showGridLines="0" tabSelected="1" workbookViewId="0">
      <pane ySplit="8" topLeftCell="A9" activePane="bottomLeft" state="frozen"/>
      <selection pane="bottomLeft" activeCell="E14" sqref="E14"/>
    </sheetView>
  </sheetViews>
  <sheetFormatPr baseColWidth="10" defaultColWidth="11.25" defaultRowHeight="15" customHeight="1" x14ac:dyDescent="0.25"/>
  <cols>
    <col min="1" max="1" width="3.25" customWidth="1"/>
    <col min="2" max="2" width="25.75" customWidth="1"/>
    <col min="3" max="3" width="15.375" customWidth="1"/>
    <col min="4" max="4" width="20" customWidth="1"/>
    <col min="5" max="5" width="77.75" customWidth="1"/>
    <col min="6" max="6" width="39" customWidth="1"/>
    <col min="7" max="10" width="25.75" customWidth="1"/>
    <col min="11" max="11" width="40.75" customWidth="1"/>
    <col min="12" max="12" width="3.25" customWidth="1"/>
    <col min="13" max="31" width="10.75" customWidth="1"/>
  </cols>
  <sheetData>
    <row r="1" spans="1:31" ht="18.75" customHeight="1" x14ac:dyDescent="0.25">
      <c r="A1" s="1"/>
      <c r="B1" s="2" t="s">
        <v>0</v>
      </c>
      <c r="C1" s="3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5.75" customHeight="1" x14ac:dyDescent="0.25">
      <c r="B2" s="4" t="s">
        <v>1</v>
      </c>
      <c r="C2" s="5"/>
      <c r="F2" s="4" t="s">
        <v>2</v>
      </c>
    </row>
    <row r="3" spans="1:31" ht="27" customHeight="1" x14ac:dyDescent="0.25">
      <c r="B3" s="29" t="s">
        <v>47</v>
      </c>
      <c r="C3" s="30"/>
      <c r="D3" s="31"/>
      <c r="F3" s="6">
        <v>46140</v>
      </c>
    </row>
    <row r="4" spans="1:31" ht="15.75" customHeight="1" x14ac:dyDescent="0.25">
      <c r="B4" s="4" t="s">
        <v>3</v>
      </c>
      <c r="C4" s="5"/>
      <c r="F4" s="4" t="s">
        <v>4</v>
      </c>
    </row>
    <row r="5" spans="1:31" ht="18" customHeight="1" x14ac:dyDescent="0.25">
      <c r="B5" s="7" t="s">
        <v>5</v>
      </c>
      <c r="C5" s="8"/>
      <c r="D5" s="9"/>
      <c r="F5" s="6">
        <v>46184</v>
      </c>
    </row>
    <row r="6" spans="1:31" ht="15.75" customHeight="1" x14ac:dyDescent="0.25"/>
    <row r="7" spans="1:31" ht="15.75" customHeight="1" x14ac:dyDescent="0.25">
      <c r="A7" s="10"/>
      <c r="B7" s="11"/>
      <c r="C7" s="12" t="s">
        <v>6</v>
      </c>
      <c r="D7" s="13"/>
      <c r="E7" s="13"/>
      <c r="F7" s="12" t="s">
        <v>7</v>
      </c>
      <c r="G7" s="14"/>
      <c r="H7" s="14"/>
      <c r="I7" s="14"/>
      <c r="J7" s="14"/>
      <c r="K7" s="15"/>
    </row>
    <row r="8" spans="1:31" ht="24" customHeight="1" x14ac:dyDescent="0.25">
      <c r="A8" s="10"/>
      <c r="B8" s="16" t="s">
        <v>8</v>
      </c>
      <c r="C8" s="17" t="s">
        <v>2</v>
      </c>
      <c r="D8" s="17" t="s">
        <v>4</v>
      </c>
      <c r="E8" s="17" t="s">
        <v>9</v>
      </c>
      <c r="F8" s="18" t="s">
        <v>10</v>
      </c>
      <c r="G8" s="18" t="s">
        <v>11</v>
      </c>
      <c r="H8" s="18" t="s">
        <v>12</v>
      </c>
      <c r="I8" s="18" t="s">
        <v>13</v>
      </c>
      <c r="J8" s="18" t="s">
        <v>14</v>
      </c>
      <c r="K8" s="19" t="s">
        <v>15</v>
      </c>
    </row>
    <row r="9" spans="1:31" ht="54" x14ac:dyDescent="0.25">
      <c r="A9" s="10"/>
      <c r="B9" s="20" t="s">
        <v>16</v>
      </c>
      <c r="C9" s="21">
        <v>46140</v>
      </c>
      <c r="D9" s="22">
        <v>46147</v>
      </c>
      <c r="E9" s="23">
        <f>D9-C9+1</f>
        <v>8</v>
      </c>
      <c r="F9" s="20" t="s">
        <v>17</v>
      </c>
      <c r="G9" s="24">
        <v>200000</v>
      </c>
      <c r="H9" s="20" t="s">
        <v>18</v>
      </c>
      <c r="I9" s="20" t="s">
        <v>19</v>
      </c>
      <c r="J9" s="20" t="s">
        <v>20</v>
      </c>
      <c r="K9" s="20" t="s">
        <v>21</v>
      </c>
    </row>
    <row r="10" spans="1:31" ht="81" x14ac:dyDescent="0.25">
      <c r="A10" s="10"/>
      <c r="B10" s="20" t="s">
        <v>22</v>
      </c>
      <c r="C10" s="22">
        <v>46147</v>
      </c>
      <c r="D10" s="22">
        <v>46155</v>
      </c>
      <c r="E10" s="23">
        <f t="shared" ref="E10:E12" si="0">D10-C10+1</f>
        <v>9</v>
      </c>
      <c r="F10" s="20" t="s">
        <v>23</v>
      </c>
      <c r="G10" s="24">
        <v>680000</v>
      </c>
      <c r="H10" s="20" t="s">
        <v>24</v>
      </c>
      <c r="I10" s="20" t="s">
        <v>25</v>
      </c>
      <c r="J10" s="20" t="s">
        <v>26</v>
      </c>
      <c r="K10" s="20" t="s">
        <v>27</v>
      </c>
    </row>
    <row r="11" spans="1:31" ht="67.5" x14ac:dyDescent="0.25">
      <c r="A11" s="10"/>
      <c r="B11" s="20" t="s">
        <v>28</v>
      </c>
      <c r="C11" s="22">
        <v>46155</v>
      </c>
      <c r="D11" s="22">
        <v>46166</v>
      </c>
      <c r="E11" s="23">
        <f t="shared" si="0"/>
        <v>12</v>
      </c>
      <c r="F11" s="20" t="s">
        <v>29</v>
      </c>
      <c r="G11" s="24">
        <v>1500000</v>
      </c>
      <c r="H11" s="20" t="s">
        <v>30</v>
      </c>
      <c r="I11" s="20" t="s">
        <v>31</v>
      </c>
      <c r="J11" s="20" t="s">
        <v>32</v>
      </c>
      <c r="K11" s="20" t="s">
        <v>33</v>
      </c>
    </row>
    <row r="12" spans="1:31" ht="97.5" customHeight="1" x14ac:dyDescent="0.25">
      <c r="A12" s="10"/>
      <c r="B12" s="20" t="s">
        <v>34</v>
      </c>
      <c r="C12" s="22">
        <v>46166</v>
      </c>
      <c r="D12" s="22">
        <v>46172</v>
      </c>
      <c r="E12" s="23">
        <f t="shared" si="0"/>
        <v>7</v>
      </c>
      <c r="F12" s="20" t="s">
        <v>35</v>
      </c>
      <c r="G12" s="24">
        <v>1500000</v>
      </c>
      <c r="H12" s="20" t="s">
        <v>36</v>
      </c>
      <c r="I12" s="20" t="s">
        <v>37</v>
      </c>
      <c r="J12" s="20" t="s">
        <v>38</v>
      </c>
      <c r="K12" s="20" t="s">
        <v>39</v>
      </c>
    </row>
    <row r="13" spans="1:31" ht="69.75" customHeight="1" x14ac:dyDescent="0.25">
      <c r="A13" s="10"/>
      <c r="B13" s="20" t="s">
        <v>40</v>
      </c>
      <c r="C13" s="22">
        <v>46172</v>
      </c>
      <c r="D13" s="22">
        <v>46181</v>
      </c>
      <c r="E13" s="23" t="s">
        <v>47</v>
      </c>
      <c r="F13" s="20" t="s">
        <v>41</v>
      </c>
      <c r="G13" s="24">
        <v>625000</v>
      </c>
      <c r="H13" s="20" t="s">
        <v>42</v>
      </c>
      <c r="I13" s="20" t="s">
        <v>43</v>
      </c>
      <c r="J13" s="20" t="s">
        <v>44</v>
      </c>
      <c r="K13" s="20" t="s">
        <v>45</v>
      </c>
    </row>
    <row r="14" spans="1:31" ht="50.25" customHeight="1" x14ac:dyDescent="0.25">
      <c r="A14" s="10"/>
      <c r="B14" s="20"/>
      <c r="C14" s="21"/>
      <c r="D14" s="22"/>
      <c r="E14" s="23"/>
      <c r="F14" s="20"/>
      <c r="G14" s="24">
        <f>SUM(G9:G13)</f>
        <v>4505000</v>
      </c>
      <c r="H14" s="20"/>
      <c r="I14" s="20"/>
      <c r="J14" s="20"/>
      <c r="K14" s="20"/>
    </row>
    <row r="15" spans="1:31" ht="15.75" x14ac:dyDescent="0.25">
      <c r="A15" s="10"/>
      <c r="B15" s="20"/>
      <c r="C15" s="21"/>
      <c r="D15" s="22"/>
      <c r="E15" s="23">
        <v>1</v>
      </c>
      <c r="F15" s="20"/>
      <c r="G15" s="20"/>
      <c r="H15" s="20"/>
      <c r="I15" s="20"/>
      <c r="J15" s="20"/>
      <c r="K15" s="20"/>
    </row>
    <row r="16" spans="1:31" ht="24.75" customHeight="1" x14ac:dyDescent="0.25">
      <c r="A16" s="10"/>
      <c r="B16" s="20"/>
      <c r="C16" s="21"/>
      <c r="D16" s="22"/>
      <c r="E16" s="23">
        <v>1</v>
      </c>
      <c r="F16" s="20"/>
      <c r="G16" s="20"/>
      <c r="H16" s="20"/>
      <c r="I16" s="20"/>
      <c r="J16" s="20"/>
      <c r="K16" s="20"/>
    </row>
    <row r="17" spans="1:11" ht="24.75" customHeight="1" x14ac:dyDescent="0.25">
      <c r="A17" s="10"/>
      <c r="B17" s="20"/>
      <c r="C17" s="21"/>
      <c r="D17" s="22"/>
      <c r="E17" s="23">
        <v>1</v>
      </c>
      <c r="F17" s="20"/>
      <c r="G17" s="20"/>
      <c r="H17" s="20"/>
      <c r="I17" s="20"/>
      <c r="J17" s="20"/>
      <c r="K17" s="20"/>
    </row>
    <row r="18" spans="1:11" ht="24.75" customHeight="1" x14ac:dyDescent="0.25">
      <c r="A18" s="10"/>
      <c r="B18" s="20"/>
      <c r="C18" s="21"/>
      <c r="D18" s="22"/>
      <c r="E18" s="23">
        <v>1</v>
      </c>
      <c r="F18" s="20"/>
      <c r="G18" s="20"/>
      <c r="H18" s="20"/>
      <c r="I18" s="20"/>
      <c r="J18" s="20"/>
      <c r="K18" s="20"/>
    </row>
    <row r="19" spans="1:11" ht="24.75" customHeight="1" x14ac:dyDescent="0.25">
      <c r="A19" s="10"/>
      <c r="B19" s="20"/>
      <c r="C19" s="21"/>
      <c r="D19" s="22"/>
      <c r="E19" s="23">
        <v>1</v>
      </c>
      <c r="F19" s="20"/>
      <c r="G19" s="20"/>
      <c r="H19" s="20"/>
      <c r="I19" s="20"/>
      <c r="J19" s="20"/>
      <c r="K19" s="20"/>
    </row>
    <row r="20" spans="1:11" ht="24.75" customHeight="1" x14ac:dyDescent="0.25">
      <c r="A20" s="10"/>
      <c r="B20" s="20"/>
      <c r="C20" s="21"/>
      <c r="D20" s="22"/>
      <c r="E20" s="23">
        <v>1</v>
      </c>
      <c r="F20" s="20"/>
      <c r="G20" s="20"/>
      <c r="H20" s="20"/>
      <c r="I20" s="20"/>
      <c r="J20" s="20"/>
      <c r="K20" s="20"/>
    </row>
    <row r="21" spans="1:11" ht="24.75" customHeight="1" x14ac:dyDescent="0.25">
      <c r="A21" s="10"/>
    </row>
    <row r="22" spans="1:11" ht="24.75" customHeight="1" x14ac:dyDescent="0.25">
      <c r="A22" s="10"/>
      <c r="B22" s="25" t="s">
        <v>46</v>
      </c>
    </row>
    <row r="23" spans="1:11" ht="15.75" customHeight="1" x14ac:dyDescent="0.25"/>
    <row r="24" spans="1:11" ht="15.75" customHeight="1" x14ac:dyDescent="0.25"/>
    <row r="25" spans="1:11" ht="399.75" customHeight="1" x14ac:dyDescent="0.25">
      <c r="C25" s="26"/>
      <c r="D25" s="26"/>
      <c r="G25" s="27"/>
    </row>
    <row r="26" spans="1:11" ht="15.75" customHeight="1" x14ac:dyDescent="0.25">
      <c r="C26" s="26"/>
      <c r="D26" s="26"/>
      <c r="G26" s="27"/>
      <c r="I26" s="28"/>
    </row>
    <row r="27" spans="1:11" ht="15.75" customHeight="1" x14ac:dyDescent="0.25"/>
    <row r="28" spans="1:11" ht="15.75" customHeight="1" x14ac:dyDescent="0.25"/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3:D3"/>
  </mergeCells>
  <pageMargins left="0.3" right="0.3" top="0.3" bottom="0.3" header="0" footer="0"/>
  <pageSetup fitToHeight="0"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 DEL PROYECTO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Ragazhinskaya</dc:creator>
  <cp:lastModifiedBy>Juan Blandón</cp:lastModifiedBy>
  <dcterms:created xsi:type="dcterms:W3CDTF">2016-03-21T16:06:55Z</dcterms:created>
  <dcterms:modified xsi:type="dcterms:W3CDTF">2026-05-26T19:19:27Z</dcterms:modified>
</cp:coreProperties>
</file>